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noo\OneDrive\Documents\GitHub\LDC_Dual_Can\"/>
    </mc:Choice>
  </mc:AlternateContent>
  <xr:revisionPtr revIDLastSave="0" documentId="8_{FFDF04C3-80A3-4E61-840B-C4081CF74E39}" xr6:coauthVersionLast="47" xr6:coauthVersionMax="47" xr10:uidLastSave="{00000000-0000-0000-0000-000000000000}"/>
  <bookViews>
    <workbookView xWindow="-110" yWindow="-110" windowWidth="19420" windowHeight="11500" xr2:uid="{1E74338A-9F27-4914-8D27-58D4D5D5B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1" i="1" l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21" i="1"/>
  <c r="N20" i="1"/>
  <c r="N19" i="1"/>
  <c r="N18" i="1"/>
  <c r="N17" i="1"/>
  <c r="N16" i="1"/>
  <c r="N15" i="1"/>
  <c r="N14" i="1"/>
  <c r="N13" i="1"/>
  <c r="N12" i="1"/>
  <c r="N11" i="1"/>
  <c r="N10" i="1"/>
  <c r="P9" i="1"/>
  <c r="N9" i="1"/>
  <c r="P8" i="1"/>
  <c r="N8" i="1"/>
  <c r="P7" i="1"/>
  <c r="N7" i="1"/>
  <c r="P6" i="1"/>
  <c r="N6" i="1"/>
  <c r="P5" i="1"/>
  <c r="N5" i="1"/>
  <c r="P4" i="1"/>
  <c r="N4" i="1"/>
  <c r="P3" i="1"/>
  <c r="N3" i="1"/>
  <c r="P2" i="1"/>
  <c r="N2" i="1"/>
</calcChain>
</file>

<file path=xl/sharedStrings.xml><?xml version="1.0" encoding="utf-8"?>
<sst xmlns="http://schemas.openxmlformats.org/spreadsheetml/2006/main" count="88" uniqueCount="42">
  <si>
    <t>Channel #</t>
  </si>
  <si>
    <t>PROJECT</t>
  </si>
  <si>
    <t>Cell #</t>
  </si>
  <si>
    <t>Neware rack</t>
  </si>
  <si>
    <t>Neware Channel</t>
  </si>
  <si>
    <t>Thermal Chamber</t>
  </si>
  <si>
    <t>Thermal Chamber rack (top is 1</t>
  </si>
  <si>
    <t>Temp</t>
  </si>
  <si>
    <t>Pressure</t>
  </si>
  <si>
    <t>Test Protocol</t>
  </si>
  <si>
    <t>Can Address (HEX)</t>
  </si>
  <si>
    <t>Can Sub</t>
  </si>
  <si>
    <t>Reference</t>
  </si>
  <si>
    <t>index</t>
  </si>
  <si>
    <t>Temperature msg ID</t>
  </si>
  <si>
    <t>Ref index</t>
  </si>
  <si>
    <t>GMJuly2022</t>
  </si>
  <si>
    <t>1-1</t>
  </si>
  <si>
    <t>A</t>
  </si>
  <si>
    <t>1-2</t>
  </si>
  <si>
    <t>1-3</t>
  </si>
  <si>
    <t>4A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</si>
  <si>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</si>
  <si>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</si>
  <si>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</si>
  <si>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</si>
  <si>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</si>
  <si>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</si>
  <si>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</si>
  <si>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</si>
  <si>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</si>
  <si>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</si>
  <si>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</si>
  <si>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</si>
  <si>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</si>
  <si>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3-1</t>
  </si>
  <si>
    <t>3-2</t>
  </si>
  <si>
    <t>3-3</t>
  </si>
  <si>
    <t>3-4</t>
  </si>
  <si>
    <t>6A</t>
  </si>
  <si>
    <t>4B</t>
  </si>
  <si>
    <t>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</si>
</sst>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6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horizontal="center" wrapText="1"/>
    </xf>
    <xf numFmtId="0" fontId="2" fillId="0" borderId="0" xfId="0" quotePrefix="1" applyFont="1" applyAlignment="1">
      <alignment wrapText="1"/>
    </xf>
    <xf numFmtId="0" fontId="2" fillId="3" borderId="0" xfId="0" applyFont="1" applyFill="1" applyAlignment="1">
      <alignment horizontal="right" wrapText="1"/>
    </xf>
    <xf numFmtId="49" fontId="2" fillId="3" borderId="0" xfId="0" applyNumberFormat="1" applyFont="1" applyFill="1" applyAlignment="1">
      <alignment horizontal="right" wrapText="1"/>
    </xf>
    <xf numFmtId="0" fontId="2" fillId="3" borderId="0" xfId="0" applyFont="1" applyFill="1" applyAlignment="1">
      <alignment wrapText="1"/>
    </xf>
    <xf numFmtId="0" fontId="2" fillId="3" borderId="4" xfId="0" applyFont="1" applyFill="1" applyBorder="1" applyAlignment="1">
      <alignment horizontal="right" wrapText="1"/>
    </xf>
    <xf numFmtId="0" fontId="2" fillId="3" borderId="4" xfId="0" applyFont="1" applyFill="1" applyBorder="1" applyAlignment="1">
      <alignment horizontal="center" wrapText="1"/>
    </xf>
    <xf numFmtId="0" fontId="2" fillId="4" borderId="0" xfId="0" applyFont="1" applyFill="1" applyAlignment="1">
      <alignment horizontal="right" wrapText="1"/>
    </xf>
    <xf numFmtId="49" fontId="2" fillId="4" borderId="0" xfId="0" applyNumberFormat="1" applyFont="1" applyFill="1" applyAlignment="1">
      <alignment horizontal="right" wrapText="1"/>
    </xf>
    <xf numFmtId="0" fontId="2" fillId="4" borderId="0" xfId="0" applyFont="1" applyFill="1" applyAlignment="1">
      <alignment wrapText="1"/>
    </xf>
    <xf numFmtId="0" fontId="2" fillId="4" borderId="4" xfId="0" applyFont="1" applyFill="1" applyBorder="1" applyAlignment="1">
      <alignment horizontal="right" wrapText="1"/>
    </xf>
    <xf numFmtId="0" fontId="2" fillId="4" borderId="4" xfId="0" applyFont="1" applyFill="1" applyBorder="1" applyAlignment="1">
      <alignment horizontal="center" wrapText="1"/>
    </xf>
    <xf numFmtId="0" fontId="0" fillId="2" borderId="1" xfId="1" applyFont="1"/>
    <xf numFmtId="0" fontId="2" fillId="2" borderId="1" xfId="1" applyFont="1" applyAlignment="1">
      <alignment horizontal="right" wrapText="1"/>
    </xf>
    <xf numFmtId="49" fontId="2" fillId="2" borderId="1" xfId="1" applyNumberFormat="1" applyFont="1" applyAlignment="1">
      <alignment horizontal="right" wrapText="1"/>
    </xf>
    <xf numFmtId="0" fontId="2" fillId="2" borderId="1" xfId="1" applyFont="1" applyAlignment="1">
      <alignment wrapText="1"/>
    </xf>
    <xf numFmtId="0" fontId="0" fillId="0" borderId="1" xfId="1" applyFont="1" applyFill="1"/>
    <xf numFmtId="0" fontId="2" fillId="0" borderId="1" xfId="1" applyFont="1" applyFill="1" applyAlignment="1">
      <alignment horizontal="right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0065-36E8-4954-A05A-CD6394E09DCD}">
  <dimension ref="A1:P25"/>
  <sheetViews>
    <sheetView tabSelected="1" workbookViewId="0">
      <selection activeCell="H5" sqref="H5"/>
    </sheetView>
  </sheetViews>
  <sheetFormatPr defaultRowHeight="14.5" x14ac:dyDescent="0.35"/>
  <cols>
    <col min="2" max="2" width="11.1796875" customWidth="1"/>
  </cols>
  <sheetData>
    <row r="1" spans="1:16" ht="51.5" thickBot="1" x14ac:dyDescent="0.4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1" t="s">
        <v>13</v>
      </c>
      <c r="O1" s="1" t="s">
        <v>14</v>
      </c>
      <c r="P1" s="1" t="s">
        <v>15</v>
      </c>
    </row>
    <row r="2" spans="1:16" ht="15" thickBot="1" x14ac:dyDescent="0.4">
      <c r="A2">
        <v>1</v>
      </c>
      <c r="B2" t="s">
        <v>16</v>
      </c>
      <c r="C2" s="5">
        <v>12</v>
      </c>
      <c r="D2" s="5">
        <v>36</v>
      </c>
      <c r="E2" s="6" t="s">
        <v>17</v>
      </c>
      <c r="F2" s="1" t="s">
        <v>18</v>
      </c>
      <c r="G2" s="5">
        <v>1</v>
      </c>
      <c r="H2" s="5">
        <v>25</v>
      </c>
      <c r="I2" s="7">
        <v>5</v>
      </c>
      <c r="J2" s="8">
        <v>1</v>
      </c>
      <c r="K2" s="9">
        <v>10</v>
      </c>
      <c r="L2" s="5">
        <v>0</v>
      </c>
      <c r="M2" s="5">
        <v>-1</v>
      </c>
      <c r="N2">
        <f>HEX2DEC(K2)+L2</f>
        <v>16</v>
      </c>
      <c r="O2">
        <f>HEX2DEC(K2)+4</f>
        <v>20</v>
      </c>
      <c r="P2">
        <f>IF(M2=3,HEX2DEC(K2)+3,0)</f>
        <v>0</v>
      </c>
    </row>
    <row r="3" spans="1:16" ht="15" thickBot="1" x14ac:dyDescent="0.4">
      <c r="A3">
        <v>2</v>
      </c>
      <c r="B3" t="s">
        <v>16</v>
      </c>
      <c r="C3" s="10">
        <v>15</v>
      </c>
      <c r="D3" s="10">
        <v>36</v>
      </c>
      <c r="E3" s="11" t="s">
        <v>19</v>
      </c>
      <c r="F3" s="12" t="s">
        <v>18</v>
      </c>
      <c r="G3" s="10">
        <v>1</v>
      </c>
      <c r="H3" s="10">
        <v>25</v>
      </c>
      <c r="I3" s="13">
        <v>5</v>
      </c>
      <c r="J3" s="14">
        <v>1</v>
      </c>
      <c r="K3" s="10">
        <v>10</v>
      </c>
      <c r="L3" s="5">
        <v>1</v>
      </c>
      <c r="M3" s="5">
        <v>-1</v>
      </c>
      <c r="N3">
        <f t="shared" ref="N3:N21" si="0">HEX2DEC(K3)+L3</f>
        <v>17</v>
      </c>
      <c r="O3">
        <f t="shared" ref="O3:O22" si="1">HEX2DEC(K3)+4</f>
        <v>20</v>
      </c>
      <c r="P3">
        <f t="shared" ref="P3:P4" si="2">IF(M3=3,HEX2DEC(K3)+3,0)</f>
        <v>0</v>
      </c>
    </row>
    <row r="4" spans="1:16" ht="15" thickBot="1" x14ac:dyDescent="0.4">
      <c r="A4">
        <v>3</v>
      </c>
      <c r="B4" t="s">
        <v>16</v>
      </c>
      <c r="C4" s="5">
        <v>44</v>
      </c>
      <c r="D4" s="5">
        <v>36</v>
      </c>
      <c r="E4" s="6" t="s">
        <v>20</v>
      </c>
      <c r="F4" s="1" t="s">
        <v>18</v>
      </c>
      <c r="G4" s="5">
        <v>1</v>
      </c>
      <c r="H4" s="5">
        <v>25</v>
      </c>
      <c r="I4" s="7">
        <v>5</v>
      </c>
      <c r="J4" s="8" t="s">
        <v>21</v>
      </c>
      <c r="K4" s="1">
        <v>20</v>
      </c>
      <c r="L4" s="5">
        <v>0</v>
      </c>
      <c r="M4" s="5">
        <v>-1</v>
      </c>
      <c r="N4">
        <f t="shared" si="0"/>
        <v>32</v>
      </c>
      <c r="O4">
        <f t="shared" si="1"/>
        <v>36</v>
      </c>
      <c r="P4">
        <f t="shared" si="2"/>
        <v>0</v>
      </c>
    </row>
    <row r="5" spans="1:16" ht="15" thickBot="1" x14ac:dyDescent="0.4">
      <c r="A5">
        <v>4</v>
      </c>
      <c r="B5" t="s">
        <v>16</v>
      </c>
      <c r="C5" s="15">
        <v>47</v>
      </c>
      <c r="D5" s="15">
        <v>36</v>
      </c>
      <c r="E5" s="16" t="s">
        <v>22</v>
      </c>
      <c r="F5" s="17" t="s">
        <v>18</v>
      </c>
      <c r="G5" s="15">
        <v>1</v>
      </c>
      <c r="H5" s="15">
        <v>25</v>
      </c>
      <c r="I5" s="18">
        <v>25</v>
      </c>
      <c r="J5" s="19">
        <v>2</v>
      </c>
      <c r="K5" s="15">
        <v>20</v>
      </c>
      <c r="L5" s="5">
        <v>1</v>
      </c>
      <c r="M5" s="5">
        <v>-1</v>
      </c>
      <c r="N5">
        <f t="shared" si="0"/>
        <v>33</v>
      </c>
      <c r="O5">
        <f t="shared" si="1"/>
        <v>36</v>
      </c>
      <c r="P5">
        <f>IF(M5=3,HEX2DEC(K5)+3,19)</f>
        <v>19</v>
      </c>
    </row>
    <row r="6" spans="1:16" ht="15" thickBot="1" x14ac:dyDescent="0.4">
      <c r="A6">
        <v>5</v>
      </c>
      <c r="B6" t="s">
        <v>16</v>
      </c>
      <c r="C6" s="5">
        <v>42</v>
      </c>
      <c r="D6" s="5">
        <v>36</v>
      </c>
      <c r="E6" s="6" t="s">
        <v>23</v>
      </c>
      <c r="F6" s="1" t="s">
        <v>18</v>
      </c>
      <c r="G6" s="5">
        <v>1</v>
      </c>
      <c r="H6" s="5">
        <v>25</v>
      </c>
      <c r="I6" s="7">
        <v>15</v>
      </c>
      <c r="J6" s="8">
        <v>2</v>
      </c>
      <c r="K6" s="1">
        <v>30</v>
      </c>
      <c r="L6" s="5">
        <v>0</v>
      </c>
      <c r="M6" s="5">
        <v>-1</v>
      </c>
      <c r="N6">
        <f t="shared" si="0"/>
        <v>48</v>
      </c>
      <c r="O6">
        <f t="shared" si="1"/>
        <v>52</v>
      </c>
      <c r="P6">
        <f t="shared" ref="P6:P9" si="3">IF(M6=3,HEX2DEC(K6)+3,19)</f>
        <v>19</v>
      </c>
    </row>
    <row r="7" spans="1:16" ht="15" thickBot="1" x14ac:dyDescent="0.4">
      <c r="A7">
        <v>6</v>
      </c>
      <c r="B7" t="s">
        <v>16</v>
      </c>
      <c r="C7" s="10">
        <v>23</v>
      </c>
      <c r="D7" s="10">
        <v>36</v>
      </c>
      <c r="E7" s="11" t="s">
        <v>24</v>
      </c>
      <c r="F7" s="12" t="s">
        <v>18</v>
      </c>
      <c r="G7" s="10">
        <v>1</v>
      </c>
      <c r="H7" s="10">
        <v>25</v>
      </c>
      <c r="I7" s="13">
        <v>5</v>
      </c>
      <c r="J7" s="14" t="s">
        <v>21</v>
      </c>
      <c r="K7" s="10">
        <v>30</v>
      </c>
      <c r="L7" s="5">
        <v>1</v>
      </c>
      <c r="M7" s="5">
        <v>-1</v>
      </c>
      <c r="N7">
        <f t="shared" si="0"/>
        <v>49</v>
      </c>
      <c r="O7">
        <f t="shared" si="1"/>
        <v>52</v>
      </c>
      <c r="P7">
        <f t="shared" si="3"/>
        <v>19</v>
      </c>
    </row>
    <row r="8" spans="1:16" ht="15" thickBot="1" x14ac:dyDescent="0.4">
      <c r="A8">
        <v>7</v>
      </c>
      <c r="B8" t="s">
        <v>16</v>
      </c>
      <c r="C8" s="5">
        <v>49</v>
      </c>
      <c r="D8" s="5">
        <v>36</v>
      </c>
      <c r="E8" s="6" t="s">
        <v>25</v>
      </c>
      <c r="F8" s="1" t="s">
        <v>18</v>
      </c>
      <c r="G8" s="5">
        <v>1</v>
      </c>
      <c r="H8" s="5">
        <v>25</v>
      </c>
      <c r="I8" s="7">
        <v>25</v>
      </c>
      <c r="J8" s="8">
        <v>2</v>
      </c>
      <c r="K8" s="1">
        <v>40</v>
      </c>
      <c r="L8" s="5">
        <v>0</v>
      </c>
      <c r="M8" s="5">
        <v>-1</v>
      </c>
      <c r="N8">
        <f t="shared" si="0"/>
        <v>64</v>
      </c>
      <c r="O8">
        <f t="shared" si="1"/>
        <v>68</v>
      </c>
      <c r="P8">
        <f t="shared" si="3"/>
        <v>19</v>
      </c>
    </row>
    <row r="9" spans="1:16" ht="15" thickBot="1" x14ac:dyDescent="0.4">
      <c r="A9" s="20">
        <v>8</v>
      </c>
      <c r="B9" s="20" t="s">
        <v>16</v>
      </c>
      <c r="C9" s="21">
        <v>95</v>
      </c>
      <c r="D9" s="21">
        <v>36</v>
      </c>
      <c r="E9" s="22" t="s">
        <v>26</v>
      </c>
      <c r="F9" s="23" t="s">
        <v>18</v>
      </c>
      <c r="G9" s="21">
        <v>1</v>
      </c>
      <c r="H9" s="21">
        <v>25</v>
      </c>
      <c r="I9" s="7">
        <v>5</v>
      </c>
      <c r="J9" s="8">
        <v>1</v>
      </c>
      <c r="K9" s="23">
        <v>40</v>
      </c>
      <c r="L9" s="5">
        <v>1</v>
      </c>
      <c r="M9" s="5">
        <v>-1</v>
      </c>
      <c r="N9">
        <f t="shared" si="0"/>
        <v>65</v>
      </c>
      <c r="O9">
        <f t="shared" si="1"/>
        <v>68</v>
      </c>
      <c r="P9">
        <f t="shared" si="3"/>
        <v>19</v>
      </c>
    </row>
    <row r="10" spans="1:16" ht="15" thickBot="1" x14ac:dyDescent="0.4">
      <c r="A10">
        <v>9</v>
      </c>
      <c r="B10" t="s">
        <v>16</v>
      </c>
      <c r="C10" s="5">
        <v>79</v>
      </c>
      <c r="D10" s="5">
        <v>36</v>
      </c>
      <c r="E10" s="6" t="s">
        <v>27</v>
      </c>
      <c r="F10" s="1" t="s">
        <v>18</v>
      </c>
      <c r="G10" s="5">
        <v>1</v>
      </c>
      <c r="H10" s="5">
        <v>25</v>
      </c>
      <c r="I10" s="7">
        <v>25</v>
      </c>
      <c r="J10" s="8">
        <v>2</v>
      </c>
      <c r="K10" s="5">
        <v>50</v>
      </c>
      <c r="L10" s="5">
        <v>0</v>
      </c>
      <c r="M10" s="5">
        <v>-1</v>
      </c>
      <c r="N10">
        <f t="shared" si="0"/>
        <v>80</v>
      </c>
      <c r="O10">
        <f t="shared" si="1"/>
        <v>84</v>
      </c>
    </row>
    <row r="11" spans="1:16" ht="15" thickBot="1" x14ac:dyDescent="0.4">
      <c r="A11">
        <v>10</v>
      </c>
      <c r="B11" t="s">
        <v>16</v>
      </c>
      <c r="C11" s="10">
        <v>26</v>
      </c>
      <c r="D11" s="10">
        <v>36</v>
      </c>
      <c r="E11" s="11" t="s">
        <v>28</v>
      </c>
      <c r="F11" s="12" t="s">
        <v>18</v>
      </c>
      <c r="G11" s="10">
        <v>1</v>
      </c>
      <c r="H11" s="10">
        <v>25</v>
      </c>
      <c r="I11" s="13">
        <v>25</v>
      </c>
      <c r="J11" s="14" t="s">
        <v>39</v>
      </c>
      <c r="K11" s="10">
        <v>50</v>
      </c>
      <c r="L11" s="5">
        <v>1</v>
      </c>
      <c r="M11" s="5">
        <v>-1</v>
      </c>
      <c r="N11">
        <f t="shared" si="0"/>
        <v>81</v>
      </c>
      <c r="O11">
        <f t="shared" si="1"/>
        <v>84</v>
      </c>
    </row>
    <row r="12" spans="1:16" ht="15" thickBot="1" x14ac:dyDescent="0.4">
      <c r="A12">
        <v>11</v>
      </c>
      <c r="B12" t="s">
        <v>16</v>
      </c>
      <c r="C12" s="5">
        <v>50</v>
      </c>
      <c r="D12" s="5">
        <v>36</v>
      </c>
      <c r="E12" s="6" t="s">
        <v>29</v>
      </c>
      <c r="F12" s="1" t="s">
        <v>18</v>
      </c>
      <c r="G12" s="5">
        <v>1</v>
      </c>
      <c r="H12" s="5">
        <v>25</v>
      </c>
      <c r="I12" s="7">
        <v>15</v>
      </c>
      <c r="J12" s="14" t="s">
        <v>39</v>
      </c>
      <c r="K12" s="5">
        <v>60</v>
      </c>
      <c r="L12" s="5">
        <v>0</v>
      </c>
      <c r="M12" s="5">
        <v>-1</v>
      </c>
      <c r="N12">
        <f t="shared" si="0"/>
        <v>96</v>
      </c>
      <c r="O12">
        <f t="shared" si="1"/>
        <v>100</v>
      </c>
    </row>
    <row r="13" spans="1:16" ht="15" thickBot="1" x14ac:dyDescent="0.4">
      <c r="A13">
        <v>12</v>
      </c>
      <c r="B13" t="s">
        <v>16</v>
      </c>
      <c r="C13" s="15">
        <v>67</v>
      </c>
      <c r="D13" s="15">
        <v>36</v>
      </c>
      <c r="E13" s="16" t="s">
        <v>30</v>
      </c>
      <c r="F13" s="17" t="s">
        <v>18</v>
      </c>
      <c r="G13" s="15">
        <v>1</v>
      </c>
      <c r="H13" s="15">
        <v>25</v>
      </c>
      <c r="I13" s="18">
        <v>5</v>
      </c>
      <c r="J13" s="19" t="s">
        <v>21</v>
      </c>
      <c r="K13" s="15">
        <v>60</v>
      </c>
      <c r="L13" s="5">
        <v>1</v>
      </c>
      <c r="M13" s="5">
        <v>-1</v>
      </c>
      <c r="N13">
        <f t="shared" si="0"/>
        <v>97</v>
      </c>
      <c r="O13">
        <f t="shared" si="1"/>
        <v>100</v>
      </c>
    </row>
    <row r="14" spans="1:16" ht="15" thickBot="1" x14ac:dyDescent="0.4">
      <c r="A14">
        <v>13</v>
      </c>
      <c r="B14" t="s">
        <v>16</v>
      </c>
      <c r="C14" s="5">
        <v>90</v>
      </c>
      <c r="D14" s="5">
        <v>36</v>
      </c>
      <c r="E14" s="6" t="s">
        <v>31</v>
      </c>
      <c r="F14" s="1" t="s">
        <v>18</v>
      </c>
      <c r="G14" s="5">
        <v>1</v>
      </c>
      <c r="H14" s="5">
        <v>25</v>
      </c>
      <c r="I14" s="7">
        <v>15</v>
      </c>
      <c r="J14" s="8">
        <v>2</v>
      </c>
      <c r="K14" s="5">
        <v>70</v>
      </c>
      <c r="L14" s="5">
        <v>0</v>
      </c>
      <c r="M14" s="5">
        <v>-1</v>
      </c>
      <c r="N14">
        <f t="shared" si="0"/>
        <v>112</v>
      </c>
      <c r="O14">
        <f t="shared" si="1"/>
        <v>116</v>
      </c>
    </row>
    <row r="15" spans="1:16" ht="15" thickBot="1" x14ac:dyDescent="0.4">
      <c r="A15">
        <v>14</v>
      </c>
      <c r="B15" t="s">
        <v>16</v>
      </c>
      <c r="C15" s="10">
        <v>88</v>
      </c>
      <c r="D15" s="10">
        <v>36</v>
      </c>
      <c r="E15" s="11" t="s">
        <v>32</v>
      </c>
      <c r="F15" s="12" t="s">
        <v>18</v>
      </c>
      <c r="G15" s="10">
        <v>1</v>
      </c>
      <c r="H15" s="10">
        <v>25</v>
      </c>
      <c r="I15" s="13">
        <v>5</v>
      </c>
      <c r="J15" s="14" t="s">
        <v>40</v>
      </c>
      <c r="K15" s="5">
        <v>70</v>
      </c>
      <c r="L15" s="5">
        <v>1</v>
      </c>
      <c r="M15" s="5">
        <v>-1</v>
      </c>
      <c r="N15">
        <f t="shared" si="0"/>
        <v>113</v>
      </c>
      <c r="O15">
        <f t="shared" si="1"/>
        <v>116</v>
      </c>
    </row>
    <row r="16" spans="1:16" ht="15" thickBot="1" x14ac:dyDescent="0.4">
      <c r="A16">
        <v>15</v>
      </c>
      <c r="B16" t="s">
        <v>16</v>
      </c>
      <c r="C16" s="5">
        <v>52</v>
      </c>
      <c r="D16" s="5">
        <v>36</v>
      </c>
      <c r="E16" s="6" t="s">
        <v>33</v>
      </c>
      <c r="F16" s="1" t="s">
        <v>18</v>
      </c>
      <c r="G16" s="5">
        <v>1</v>
      </c>
      <c r="H16" s="5">
        <v>25</v>
      </c>
      <c r="I16" s="7">
        <v>25</v>
      </c>
      <c r="J16" s="8" t="s">
        <v>39</v>
      </c>
      <c r="K16" s="5">
        <v>80</v>
      </c>
      <c r="L16" s="5">
        <v>0</v>
      </c>
      <c r="M16" s="5">
        <v>-1</v>
      </c>
      <c r="N16">
        <f t="shared" si="0"/>
        <v>128</v>
      </c>
      <c r="O16">
        <f t="shared" si="1"/>
        <v>132</v>
      </c>
    </row>
    <row r="17" spans="1:15" ht="15" thickBot="1" x14ac:dyDescent="0.4">
      <c r="A17">
        <v>16</v>
      </c>
      <c r="B17" s="20" t="s">
        <v>16</v>
      </c>
      <c r="C17" s="5">
        <v>97</v>
      </c>
      <c r="D17" s="5">
        <v>36</v>
      </c>
      <c r="E17" s="6" t="s">
        <v>34</v>
      </c>
      <c r="F17" s="1" t="s">
        <v>18</v>
      </c>
      <c r="G17" s="21">
        <v>1</v>
      </c>
      <c r="H17" s="5">
        <v>25</v>
      </c>
      <c r="I17" s="7">
        <v>25</v>
      </c>
      <c r="J17" s="8" t="s">
        <v>39</v>
      </c>
      <c r="K17" s="5">
        <v>80</v>
      </c>
      <c r="L17" s="5">
        <v>1</v>
      </c>
      <c r="M17" s="5">
        <v>-1</v>
      </c>
      <c r="N17">
        <f t="shared" si="0"/>
        <v>129</v>
      </c>
      <c r="O17">
        <f t="shared" si="1"/>
        <v>132</v>
      </c>
    </row>
    <row r="18" spans="1:15" ht="15" thickBot="1" x14ac:dyDescent="0.4">
      <c r="A18">
        <v>17</v>
      </c>
      <c r="B18" t="s">
        <v>16</v>
      </c>
      <c r="C18" s="5">
        <v>41</v>
      </c>
      <c r="D18" s="5">
        <v>36</v>
      </c>
      <c r="E18" s="6" t="s">
        <v>35</v>
      </c>
      <c r="F18" s="1" t="s">
        <v>18</v>
      </c>
      <c r="G18" s="5">
        <v>1</v>
      </c>
      <c r="H18" s="5">
        <v>25</v>
      </c>
      <c r="I18" s="7">
        <v>5</v>
      </c>
      <c r="J18" s="8" t="s">
        <v>40</v>
      </c>
      <c r="K18" s="5">
        <v>90</v>
      </c>
      <c r="L18" s="5">
        <v>0</v>
      </c>
      <c r="M18" s="5">
        <v>-1</v>
      </c>
      <c r="N18">
        <f t="shared" si="0"/>
        <v>144</v>
      </c>
      <c r="O18">
        <f t="shared" si="1"/>
        <v>148</v>
      </c>
    </row>
    <row r="19" spans="1:15" ht="15" thickBot="1" x14ac:dyDescent="0.4">
      <c r="A19">
        <v>18</v>
      </c>
      <c r="B19" t="s">
        <v>16</v>
      </c>
      <c r="C19" s="10">
        <v>81</v>
      </c>
      <c r="D19" s="10">
        <v>36</v>
      </c>
      <c r="E19" s="11" t="s">
        <v>36</v>
      </c>
      <c r="F19" s="12" t="s">
        <v>18</v>
      </c>
      <c r="G19" s="10">
        <v>1</v>
      </c>
      <c r="H19" s="10">
        <v>25</v>
      </c>
      <c r="I19" s="13">
        <v>5</v>
      </c>
      <c r="J19" s="14" t="s">
        <v>40</v>
      </c>
      <c r="K19" s="5">
        <v>90</v>
      </c>
      <c r="L19" s="5">
        <v>1</v>
      </c>
      <c r="M19" s="5">
        <v>-1</v>
      </c>
      <c r="N19">
        <f t="shared" si="0"/>
        <v>145</v>
      </c>
      <c r="O19">
        <f t="shared" si="1"/>
        <v>148</v>
      </c>
    </row>
    <row r="20" spans="1:15" ht="15" thickBot="1" x14ac:dyDescent="0.4">
      <c r="A20">
        <v>19</v>
      </c>
      <c r="B20" t="s">
        <v>16</v>
      </c>
      <c r="C20" s="5">
        <v>93</v>
      </c>
      <c r="D20" s="5">
        <v>36</v>
      </c>
      <c r="E20" s="6" t="s">
        <v>37</v>
      </c>
      <c r="F20" s="1" t="s">
        <v>18</v>
      </c>
      <c r="G20" s="5">
        <v>1</v>
      </c>
      <c r="H20" s="5">
        <v>25</v>
      </c>
      <c r="I20" s="7">
        <v>5</v>
      </c>
      <c r="J20" s="8" t="s">
        <v>41</v>
      </c>
      <c r="K20" s="5">
        <v>100</v>
      </c>
      <c r="L20" s="5">
        <v>0</v>
      </c>
      <c r="M20" s="5">
        <v>-1</v>
      </c>
      <c r="N20">
        <f t="shared" si="0"/>
        <v>256</v>
      </c>
      <c r="O20">
        <f t="shared" si="1"/>
        <v>260</v>
      </c>
    </row>
    <row r="21" spans="1:15" ht="15" thickBot="1" x14ac:dyDescent="0.4">
      <c r="A21">
        <v>20</v>
      </c>
      <c r="B21" t="s">
        <v>16</v>
      </c>
      <c r="C21" s="15">
        <v>34</v>
      </c>
      <c r="D21" s="15">
        <v>36</v>
      </c>
      <c r="E21" s="16" t="s">
        <v>38</v>
      </c>
      <c r="F21" s="17" t="s">
        <v>18</v>
      </c>
      <c r="G21" s="15">
        <v>1</v>
      </c>
      <c r="H21" s="15">
        <v>25</v>
      </c>
      <c r="I21" s="18">
        <v>5</v>
      </c>
      <c r="J21" s="19" t="s">
        <v>41</v>
      </c>
      <c r="K21" s="5">
        <v>100</v>
      </c>
      <c r="L21" s="5">
        <v>1</v>
      </c>
      <c r="M21" s="5">
        <v>-1</v>
      </c>
      <c r="N21">
        <f t="shared" si="0"/>
        <v>257</v>
      </c>
      <c r="O21">
        <f>HEX2DEC(K21)+4</f>
        <v>260</v>
      </c>
    </row>
    <row r="22" spans="1:15" x14ac:dyDescent="0.35">
      <c r="G22" s="5"/>
    </row>
    <row r="23" spans="1:15" x14ac:dyDescent="0.35">
      <c r="G23" s="5"/>
    </row>
    <row r="24" spans="1:15" x14ac:dyDescent="0.35">
      <c r="G24" s="5"/>
    </row>
    <row r="25" spans="1:15" x14ac:dyDescent="0.35">
      <c r="B25" s="24"/>
      <c r="G25" s="25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4C89DAE496BF44998FF12F1A5C3C07" ma:contentTypeVersion="5" ma:contentTypeDescription="Create a new document." ma:contentTypeScope="" ma:versionID="e628b6bf152cfb4b27e54c01054b7140">
  <xsd:schema xmlns:xsd="http://www.w3.org/2001/XMLSchema" xmlns:xs="http://www.w3.org/2001/XMLSchema" xmlns:p="http://schemas.microsoft.com/office/2006/metadata/properties" xmlns:ns3="aa104941-12ec-4adc-9457-6b3ef6f47016" targetNamespace="http://schemas.microsoft.com/office/2006/metadata/properties" ma:root="true" ma:fieldsID="a320ec54d892640e5f356c08ea224698" ns3:_="">
    <xsd:import namespace="aa104941-12ec-4adc-9457-6b3ef6f470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04941-12ec-4adc-9457-6b3ef6f470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104941-12ec-4adc-9457-6b3ef6f47016" xsi:nil="true"/>
  </documentManagement>
</p:properties>
</file>

<file path=customXml/itemProps1.xml><?xml version="1.0" encoding="utf-8"?>
<ds:datastoreItem xmlns:ds="http://schemas.openxmlformats.org/officeDocument/2006/customXml" ds:itemID="{67CCBFC8-2F45-4B75-8F12-47E13A4B6C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04941-12ec-4adc-9457-6b3ef6f470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9B8584-9CDE-4019-9D6F-96D3A165C9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62EE91-1423-442B-AF86-5978079F5EBF}">
  <ds:schemaRefs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aa104941-12ec-4adc-9457-6b3ef6f47016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Nooguri, Prathik</dc:creator>
  <cp:lastModifiedBy>Nooguri, Prathik</cp:lastModifiedBy>
  <dcterms:created xsi:type="dcterms:W3CDTF">2026-06-11T17:43:24Z</dcterms:created>
  <dcterms:modified xsi:type="dcterms:W3CDTF">2026-06-19T21:06:31Z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0x010100824C89DAE496BF44998FF12F1A5C3C07</vt:lpwstr>
  </property>
</Properties>
</file>