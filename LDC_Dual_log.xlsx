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<sst xmlns="http://schemas.openxmlformats.org/spreadsheetml/2006/main" count="29" uniqueCount="25">
  <si>
    <t xml:space="preserve">Channel #</t>
  </si>
  <si>
    <t xml:space="preserve">PROJECT</t>
  </si>
  <si>
    <t xml:space="preserve">Cell #</t>
  </si>
  <si>
    <t xml:space="preserve">Neware rack</t>
  </si>
  <si>
    <t xml:space="preserve">Neware Channel</t>
  </si>
  <si>
    <t xml:space="preserve">Thermal Chamber</t>
  </si>
  <si>
    <t xml:space="preserve">Thermal Chamber rack (top is 1</t>
  </si>
  <si>
    <t xml:space="preserve">Temp</t>
  </si>
  <si>
    <t xml:space="preserve">Pressure</t>
  </si>
  <si>
    <t xml:space="preserve">Test Protocol</t>
  </si>
  <si>
    <t xml:space="preserve">Can Address (HEX)</t>
  </si>
  <si>
    <t xml:space="preserve">Can Sub</t>
  </si>
  <si>
    <t xml:space="preserve">Reference</t>
  </si>
  <si>
    <t xml:space="preserve">index</t>
  </si>
  <si>
    <t xml:space="preserve">Temperature msg ID</t>
  </si>
  <si>
    <t xml:space="preserve">Ref index</t>
  </si>
  <si>
    <t xml:space="preserve">GMFeb2023 D92</t>
  </si>
  <si>
    <t xml:space="preserve">19</t>
  </si>
  <si>
    <t xml:space="preserve">A</t>
  </si>
  <si>
    <t xml:space="preserve">GMFeb2023 D93</t>
  </si>
  <si>
    <t xml:space="preserve">20</t>
  </si>
  <si>
    <t xml:space="preserve">GMFeb2023 D82</t>
  </si>
  <si>
    <t xml:space="preserve">23</t>
  </si>
  <si>
    <t xml:space="preserve">4A</t>
  </si>
  <si>
    <t xml:space="preserve">29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</si>
</sst>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00FF00"/>
        <bgColor rgb="FF33CCCC"/>
      </patternFill>
    </fill>
    <fill>
      <patternFill patternType="solid">
        <fgColor rgb="FFFF00FF"/>
        <bgColor rgb="FFFF00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2" borderId="1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O18" activeCellId="0" sqref="O18"/>
    </sheetView>
  </sheetViews>
  <sheetFormatPr defaultColWidth="8.5390625" defaultRowHeight="14.25" zeroHeight="false" outlineLevelRow="0" outlineLevelCol="0"/>
  <cols>
    <col collapsed="false" customWidth="true" hidden="false" outlineLevel="0" max="2" min="2" style="1" width="15.66"/>
  </cols>
  <sheetData>
    <row r="1" customFormat="false" ht="51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5" t="s">
        <v>12</v>
      </c>
      <c r="N1" s="2" t="s">
        <v>13</v>
      </c>
      <c r="O1" s="2" t="s">
        <v>14</v>
      </c>
      <c r="P1" s="2" t="s">
        <v>15</v>
      </c>
    </row>
    <row r="2" customFormat="false" ht="15" hidden="false" customHeight="false" outlineLevel="0" collapsed="false">
      <c r="A2" s="1" t="n">
        <v>19</v>
      </c>
      <c r="B2" s="1" t="s">
        <v>16</v>
      </c>
      <c r="C2" s="6" t="n">
        <v>2</v>
      </c>
      <c r="D2" s="6" t="n">
        <v>36</v>
      </c>
      <c r="E2" s="7" t="s">
        <v>17</v>
      </c>
      <c r="F2" s="2" t="s">
        <v>18</v>
      </c>
      <c r="G2" s="6" t="n">
        <v>1</v>
      </c>
      <c r="H2" s="6" t="n">
        <v>25</v>
      </c>
      <c r="I2" s="8" t="n">
        <v>5</v>
      </c>
      <c r="J2" s="9" t="n">
        <v>1</v>
      </c>
      <c r="K2" s="2" t="n">
        <v>90</v>
      </c>
      <c r="L2" s="6" t="n">
        <v>0</v>
      </c>
      <c r="M2" s="6" t="n">
        <v>-1</v>
      </c>
      <c r="N2" s="1" t="n">
        <f aca="false">HEX2DEC(K2)+L2</f>
        <v>144</v>
      </c>
      <c r="O2" s="1" t="n">
        <f aca="false">HEX2DEC(K2)+4</f>
        <v>148</v>
      </c>
      <c r="P2" s="1" t="n">
        <f aca="false">IF(M2=3,HEX2DEC(K2)+3,0)</f>
        <v>0</v>
      </c>
    </row>
    <row r="3" customFormat="false" ht="15" hidden="false" customHeight="false" outlineLevel="0" collapsed="false">
      <c r="A3" s="1" t="n">
        <v>20</v>
      </c>
      <c r="B3" s="1" t="s">
        <v>19</v>
      </c>
      <c r="C3" s="10" t="n">
        <v>5</v>
      </c>
      <c r="D3" s="10" t="n">
        <v>36</v>
      </c>
      <c r="E3" s="11" t="s">
        <v>20</v>
      </c>
      <c r="F3" s="12" t="s">
        <v>18</v>
      </c>
      <c r="G3" s="10" t="n">
        <v>1</v>
      </c>
      <c r="H3" s="10" t="n">
        <v>25</v>
      </c>
      <c r="I3" s="13" t="n">
        <v>5</v>
      </c>
      <c r="J3" s="14" t="n">
        <v>1</v>
      </c>
      <c r="K3" s="10" t="n">
        <v>100</v>
      </c>
      <c r="L3" s="6" t="n">
        <v>0</v>
      </c>
      <c r="M3" s="6" t="n">
        <v>-1</v>
      </c>
      <c r="N3" s="1" t="n">
        <f aca="false">HEX2DEC(K3)+L3</f>
        <v>256</v>
      </c>
      <c r="O3" s="1" t="n">
        <f aca="false">HEX2DEC(K3)+4</f>
        <v>260</v>
      </c>
      <c r="P3" s="1" t="n">
        <f aca="false">IF(M3=3,HEX2DEC(K3)+3,0)</f>
        <v>0</v>
      </c>
    </row>
    <row r="4" customFormat="false" ht="15" hidden="false" customHeight="false" outlineLevel="0" collapsed="false">
      <c r="A4" s="1" t="n">
        <v>3</v>
      </c>
      <c r="B4" s="1" t="s">
        <v>21</v>
      </c>
      <c r="C4" s="6" t="n">
        <v>6</v>
      </c>
      <c r="D4" s="6" t="n">
        <v>36</v>
      </c>
      <c r="E4" s="7" t="s">
        <v>22</v>
      </c>
      <c r="F4" s="2" t="s">
        <v>18</v>
      </c>
      <c r="G4" s="6" t="n">
        <v>1</v>
      </c>
      <c r="H4" s="6" t="n">
        <v>25</v>
      </c>
      <c r="I4" s="8" t="n">
        <v>5</v>
      </c>
      <c r="J4" s="9" t="s">
        <v>23</v>
      </c>
      <c r="K4" s="2" t="n">
        <v>90</v>
      </c>
      <c r="L4" s="6" t="n">
        <v>1</v>
      </c>
      <c r="M4" s="6" t="n">
        <v>-1</v>
      </c>
      <c r="N4" s="1" t="n">
        <f aca="false">HEX2DEC(K4)+L4</f>
        <v>145</v>
      </c>
      <c r="O4" s="1" t="n">
        <f aca="false">HEX2DEC(K4)+4</f>
        <v>148</v>
      </c>
      <c r="P4" s="1" t="n">
        <f aca="false">IF(M4=3,HEX2DEC(K4)+3,0)</f>
        <v>0</v>
      </c>
    </row>
    <row r="5" customFormat="false" ht="15" hidden="false" customHeight="false" outlineLevel="0" collapsed="false">
      <c r="A5" s="1" t="n">
        <v>4</v>
      </c>
      <c r="B5" s="1" t="s">
        <v>19</v>
      </c>
      <c r="C5" s="15" t="n">
        <v>13</v>
      </c>
      <c r="D5" s="15" t="n">
        <v>36</v>
      </c>
      <c r="E5" s="16" t="s">
        <v>24</v>
      </c>
      <c r="F5" s="17" t="s">
        <v>18</v>
      </c>
      <c r="G5" s="15" t="n">
        <v>1</v>
      </c>
      <c r="H5" s="15" t="n">
        <v>25</v>
      </c>
      <c r="I5" s="18" t="n">
        <v>25</v>
      </c>
      <c r="J5" s="19" t="n">
        <v>2</v>
      </c>
      <c r="K5" s="15" t="n">
        <v>100</v>
      </c>
      <c r="L5" s="6" t="n">
        <v>1</v>
      </c>
      <c r="M5" s="6" t="n">
        <v>-1</v>
      </c>
      <c r="N5" s="1" t="n">
        <f aca="false">HEX2DEC(K5)+L5</f>
        <v>257</v>
      </c>
      <c r="O5" s="1" t="n">
        <f aca="false">HEX2DEC(K5)+4</f>
        <v>260</v>
      </c>
      <c r="P5" s="1" t="n">
        <f aca="false">IF(M5=3,HEX2DEC(K5)+3,19)</f>
        <v>19</v>
      </c>
    </row>
    <row r="6" customFormat="false" ht="13.8" hidden="false" customHeight="false" outlineLevel="0" collapsed="false">
      <c r="C6" s="6"/>
      <c r="D6" s="6"/>
      <c r="E6" s="7"/>
      <c r="F6" s="2"/>
      <c r="G6" s="6"/>
      <c r="H6" s="6"/>
      <c r="I6" s="8"/>
      <c r="J6" s="9"/>
      <c r="K6" s="2"/>
      <c r="L6" s="6"/>
      <c r="M6" s="6"/>
      <c r="P6" s="1"/>
    </row>
    <row r="7" customFormat="false" ht="13.8" hidden="false" customHeight="false" outlineLevel="0" collapsed="false">
      <c r="C7" s="10"/>
      <c r="D7" s="10"/>
      <c r="E7" s="11"/>
      <c r="F7" s="12"/>
      <c r="G7" s="10"/>
      <c r="H7" s="10"/>
      <c r="I7" s="13"/>
      <c r="J7" s="14"/>
      <c r="K7" s="10"/>
      <c r="L7" s="6"/>
      <c r="M7" s="6"/>
    </row>
    <row r="8" customFormat="false" ht="13.8" hidden="false" customHeight="false" outlineLevel="0" collapsed="false">
      <c r="C8" s="6"/>
      <c r="D8" s="6"/>
      <c r="E8" s="7"/>
      <c r="F8" s="2"/>
      <c r="G8" s="6"/>
      <c r="H8" s="6"/>
      <c r="I8" s="8"/>
      <c r="J8" s="9"/>
      <c r="K8" s="2"/>
      <c r="L8" s="6"/>
      <c r="M8" s="6"/>
    </row>
    <row r="9" customFormat="false" ht="13.8" hidden="false" customHeight="false" outlineLevel="0" collapsed="false">
      <c r="A9" s="20"/>
      <c r="B9" s="20"/>
      <c r="C9" s="21"/>
      <c r="D9" s="21"/>
      <c r="E9" s="22"/>
      <c r="F9" s="23"/>
      <c r="G9" s="21"/>
      <c r="H9" s="21"/>
      <c r="I9" s="8"/>
      <c r="J9" s="9"/>
      <c r="K9" s="23"/>
      <c r="L9" s="6"/>
      <c r="M9" s="6"/>
    </row>
    <row r="10" customFormat="false" ht="13.8" hidden="false" customHeight="false" outlineLevel="0" collapsed="false">
      <c r="C10" s="6"/>
      <c r="D10" s="6"/>
      <c r="E10" s="7"/>
      <c r="F10" s="2"/>
      <c r="G10" s="6"/>
      <c r="H10" s="6"/>
      <c r="I10" s="8"/>
      <c r="J10" s="9"/>
      <c r="K10" s="6"/>
      <c r="L10" s="6"/>
      <c r="M10" s="6"/>
    </row>
    <row r="11" customFormat="false" ht="13.8" hidden="false" customHeight="false" outlineLevel="0" collapsed="false">
      <c r="C11" s="10"/>
      <c r="D11" s="10"/>
      <c r="E11" s="11"/>
      <c r="F11" s="12"/>
      <c r="G11" s="10"/>
      <c r="H11" s="10"/>
      <c r="I11" s="13"/>
      <c r="J11" s="14"/>
      <c r="K11" s="10"/>
      <c r="L11" s="6"/>
      <c r="M11" s="6"/>
    </row>
    <row r="12" customFormat="false" ht="13.8" hidden="false" customHeight="false" outlineLevel="0" collapsed="false">
      <c r="C12" s="6"/>
      <c r="D12" s="6"/>
      <c r="E12" s="7"/>
      <c r="F12" s="2"/>
      <c r="G12" s="6"/>
      <c r="H12" s="6"/>
      <c r="I12" s="8"/>
      <c r="J12" s="14"/>
      <c r="K12" s="6"/>
      <c r="L12" s="6"/>
      <c r="M12" s="6"/>
    </row>
    <row r="13" customFormat="false" ht="13.8" hidden="false" customHeight="false" outlineLevel="0" collapsed="false">
      <c r="C13" s="15"/>
      <c r="D13" s="15"/>
      <c r="E13" s="16"/>
      <c r="F13" s="17"/>
      <c r="G13" s="15"/>
      <c r="H13" s="15"/>
      <c r="I13" s="18"/>
      <c r="J13" s="19"/>
      <c r="K13" s="15"/>
      <c r="L13" s="6"/>
      <c r="M13" s="6"/>
    </row>
    <row r="14" customFormat="false" ht="13.8" hidden="false" customHeight="false" outlineLevel="0" collapsed="false">
      <c r="C14" s="6"/>
      <c r="D14" s="6"/>
      <c r="E14" s="7"/>
      <c r="F14" s="2"/>
      <c r="G14" s="6"/>
      <c r="H14" s="6"/>
      <c r="I14" s="8"/>
      <c r="J14" s="9"/>
      <c r="K14" s="6"/>
      <c r="L14" s="6"/>
      <c r="M14" s="6"/>
    </row>
    <row r="15" customFormat="false" ht="13.8" hidden="false" customHeight="false" outlineLevel="0" collapsed="false">
      <c r="C15" s="10"/>
      <c r="D15" s="10"/>
      <c r="E15" s="11"/>
      <c r="F15" s="12"/>
      <c r="G15" s="10"/>
      <c r="H15" s="10"/>
      <c r="I15" s="13"/>
      <c r="J15" s="14"/>
      <c r="K15" s="6"/>
      <c r="L15" s="6"/>
      <c r="M15" s="6"/>
    </row>
    <row r="16" customFormat="false" ht="13.8" hidden="false" customHeight="false" outlineLevel="0" collapsed="false">
      <c r="C16" s="6"/>
      <c r="D16" s="6"/>
      <c r="E16" s="7"/>
      <c r="F16" s="2"/>
      <c r="G16" s="6"/>
      <c r="H16" s="6"/>
      <c r="I16" s="8"/>
      <c r="J16" s="9"/>
      <c r="K16" s="6"/>
      <c r="L16" s="6"/>
      <c r="M16" s="6"/>
    </row>
    <row r="17" customFormat="false" ht="13.8" hidden="false" customHeight="false" outlineLevel="0" collapsed="false">
      <c r="B17" s="20"/>
      <c r="C17" s="6"/>
      <c r="D17" s="6"/>
      <c r="E17" s="7"/>
      <c r="F17" s="2"/>
      <c r="G17" s="21"/>
      <c r="H17" s="6"/>
      <c r="I17" s="8"/>
      <c r="J17" s="9"/>
      <c r="K17" s="6"/>
      <c r="L17" s="6"/>
      <c r="M17" s="6"/>
    </row>
    <row r="18" customFormat="false" ht="13.8" hidden="false" customHeight="false" outlineLevel="0" collapsed="false">
      <c r="C18" s="6"/>
      <c r="D18" s="6"/>
      <c r="E18" s="7"/>
      <c r="F18" s="2"/>
      <c r="G18" s="6"/>
      <c r="H18" s="6"/>
      <c r="I18" s="8"/>
      <c r="J18" s="9"/>
      <c r="K18" s="6"/>
      <c r="L18" s="6"/>
      <c r="M18" s="6"/>
    </row>
    <row r="19" customFormat="false" ht="13.8" hidden="false" customHeight="false" outlineLevel="0" collapsed="false">
      <c r="C19" s="10"/>
      <c r="D19" s="10"/>
      <c r="E19" s="11"/>
      <c r="F19" s="12"/>
      <c r="G19" s="10"/>
      <c r="H19" s="10"/>
      <c r="I19" s="13"/>
      <c r="J19" s="14"/>
      <c r="K19" s="6"/>
      <c r="L19" s="6"/>
      <c r="M19" s="6"/>
    </row>
    <row r="20" customFormat="false" ht="13.8" hidden="false" customHeight="false" outlineLevel="0" collapsed="false">
      <c r="C20" s="6"/>
      <c r="D20" s="6"/>
      <c r="E20" s="7"/>
      <c r="F20" s="2"/>
      <c r="G20" s="6"/>
      <c r="H20" s="6"/>
      <c r="I20" s="8"/>
      <c r="J20" s="9"/>
      <c r="K20" s="6"/>
      <c r="L20" s="6"/>
      <c r="M20" s="6"/>
    </row>
    <row r="21" customFormat="false" ht="13.8" hidden="false" customHeight="false" outlineLevel="0" collapsed="false">
      <c r="C21" s="15"/>
      <c r="D21" s="15"/>
      <c r="E21" s="16"/>
      <c r="F21" s="17"/>
      <c r="G21" s="15"/>
      <c r="H21" s="15"/>
      <c r="I21" s="18"/>
      <c r="J21" s="19"/>
      <c r="K21" s="6"/>
      <c r="L21" s="6"/>
      <c r="M21" s="6"/>
    </row>
    <row r="22" customFormat="false" ht="14.25" hidden="false" customHeight="false" outlineLevel="0" collapsed="false">
      <c r="G22" s="6"/>
    </row>
    <row r="23" customFormat="false" ht="14.25" hidden="false" customHeight="false" outlineLevel="0" collapsed="false">
      <c r="G23" s="6"/>
    </row>
    <row r="24" customFormat="false" ht="14.25" hidden="false" customHeight="false" outlineLevel="0" collapsed="false">
      <c r="G24" s="6"/>
    </row>
    <row r="25" customFormat="false" ht="14.25" hidden="false" customHeight="false" outlineLevel="0" collapsed="false">
      <c r="B25" s="24"/>
      <c r="G25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4C89DAE496BF44998FF12F1A5C3C07" ma:contentTypeVersion="5" ma:contentTypeDescription="Create a new document." ma:contentTypeScope="" ma:versionID="e628b6bf152cfb4b27e54c01054b7140">
  <xsd:schema xmlns:xsd="http://www.w3.org/2001/XMLSchema" xmlns:xs="http://www.w3.org/2001/XMLSchema" xmlns:p="http://schemas.microsoft.com/office/2006/metadata/properties" xmlns:ns3="aa104941-12ec-4adc-9457-6b3ef6f47016" targetNamespace="http://schemas.microsoft.com/office/2006/metadata/properties" ma:root="true" ma:fieldsID="a320ec54d892640e5f356c08ea224698" ns3:_="">
    <xsd:import namespace="aa104941-12ec-4adc-9457-6b3ef6f4701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104941-12ec-4adc-9457-6b3ef6f4701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a104941-12ec-4adc-9457-6b3ef6f47016" xsi:nil="true"/>
  </documentManagement>
</p:properties>
</file>

<file path=customXml/itemProps1.xml><?xml version="1.0" encoding="utf-8"?>
<ds:datastoreItem xmlns:ds="http://schemas.openxmlformats.org/officeDocument/2006/customXml" ds:itemID="{67CCBFC8-2F45-4B75-8F12-47E13A4B6C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104941-12ec-4adc-9457-6b3ef6f470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9B8584-9CDE-4019-9D6F-96D3A165C9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862EE91-1423-442B-AF86-5978079F5EBF}">
  <ds:schemaRefs>
    <ds:schemaRef ds:uri="http://purl.org/dc/terms/"/>
    <ds:schemaRef ds:uri="http://www.w3.org/XML/1998/namespace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aa104941-12ec-4adc-9457-6b3ef6f47016"/>
    <ds:schemaRef ds:uri="http://schemas.microsoft.com/office/2006/documentManagement/typ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LibreOffice/7.4.7.2$Linux_AARCH64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2026-06-11T17:43:24Z</dcterms:created>
  <dc:creator>Nooguri, Prathik</dc:creator>
  <dc:description/>
  <dc:language>en-GB</dc:language>
  <cp:lastModifiedBy/>
  <dcterms:modified xsi:type="dcterms:W3CDTF">2026-07-27T12:54:59Z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0x010100824C89DAE496BF44998FF12F1A5C3C07</vt:lpwstr>
  </property>
</Properties>
</file>